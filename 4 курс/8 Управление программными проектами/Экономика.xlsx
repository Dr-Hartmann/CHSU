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sh\OneDrive\Документы\"/>
    </mc:Choice>
  </mc:AlternateContent>
  <xr:revisionPtr revIDLastSave="0" documentId="13_ncr:1_{6BF5CBF4-BCF0-43EA-A478-23E08C9EFD71}" xr6:coauthVersionLast="47" xr6:coauthVersionMax="47" xr10:uidLastSave="{00000000-0000-0000-0000-000000000000}"/>
  <bookViews>
    <workbookView xWindow="-108" yWindow="-108" windowWidth="23256" windowHeight="13896" activeTab="1" xr2:uid="{403B308D-25E0-4C34-B0BF-4688826DBE6E}"/>
  </bookViews>
  <sheets>
    <sheet name="Зарплата" sheetId="1" r:id="rId1"/>
    <sheet name="Машина" sheetId="2" r:id="rId2"/>
    <sheet name="Эффективность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2" l="1"/>
  <c r="S2" i="2"/>
  <c r="L11" i="1"/>
  <c r="K11" i="1"/>
  <c r="J11" i="1"/>
  <c r="I11" i="1"/>
  <c r="H11" i="1"/>
  <c r="G11" i="1"/>
  <c r="M2" i="2"/>
  <c r="L2" i="2"/>
  <c r="K2" i="2"/>
  <c r="I2" i="2"/>
  <c r="H2" i="2"/>
  <c r="B4" i="1"/>
  <c r="G2" i="1"/>
  <c r="H2" i="1" s="1"/>
  <c r="I2" i="1" s="1"/>
  <c r="J2" i="1" s="1"/>
  <c r="K2" i="1" s="1"/>
  <c r="K4" i="1" s="1"/>
  <c r="G3" i="1"/>
  <c r="H3" i="1" s="1"/>
  <c r="I3" i="1" s="1"/>
  <c r="J3" i="1" s="1"/>
  <c r="K3" i="1" s="1"/>
  <c r="J2" i="2" l="1"/>
  <c r="N2" i="2" s="1"/>
  <c r="O2" i="2" s="1"/>
  <c r="H4" i="1"/>
  <c r="J4" i="1"/>
  <c r="I4" i="1"/>
  <c r="L2" i="1"/>
  <c r="L3" i="1"/>
  <c r="Q2" i="2" l="1"/>
  <c r="T2" i="2" s="1"/>
  <c r="R2" i="2"/>
  <c r="U2" i="2" s="1"/>
  <c r="L4" i="1"/>
</calcChain>
</file>

<file path=xl/sharedStrings.xml><?xml version="1.0" encoding="utf-8"?>
<sst xmlns="http://schemas.openxmlformats.org/spreadsheetml/2006/main" count="40" uniqueCount="38">
  <si>
    <t>Статья</t>
  </si>
  <si>
    <t>ЗП программиста</t>
  </si>
  <si>
    <t>ЗП руководителя ВКР</t>
  </si>
  <si>
    <t>Ставка</t>
  </si>
  <si>
    <t>Часов в год</t>
  </si>
  <si>
    <t>Ставка почасовая</t>
  </si>
  <si>
    <t>Фонд рабочего времени</t>
  </si>
  <si>
    <t>Фонд рабочего времени в месяц</t>
  </si>
  <si>
    <t>Общая почасовая</t>
  </si>
  <si>
    <t>Дополнительная почасовая</t>
  </si>
  <si>
    <t>Дней в неделю</t>
  </si>
  <si>
    <t>Часов в день</t>
  </si>
  <si>
    <t>Месяцев</t>
  </si>
  <si>
    <t>Недель</t>
  </si>
  <si>
    <t>Отчисления</t>
  </si>
  <si>
    <t>Зарплата</t>
  </si>
  <si>
    <t>Итог</t>
  </si>
  <si>
    <t>Машина</t>
  </si>
  <si>
    <t>Стоимость</t>
  </si>
  <si>
    <t>Дней в году</t>
  </si>
  <si>
    <t>Срок службы, лет</t>
  </si>
  <si>
    <t>Стоимость машингого времени, руб/ч</t>
  </si>
  <si>
    <t>Стоимость 1квт/ч</t>
  </si>
  <si>
    <t>Мощность (квт)</t>
  </si>
  <si>
    <t>Затраты на использование машинного времени</t>
  </si>
  <si>
    <t>ПК1</t>
  </si>
  <si>
    <t>Затраты на носители</t>
  </si>
  <si>
    <t>Профилактика</t>
  </si>
  <si>
    <t>Затраты на помещение</t>
  </si>
  <si>
    <t>Себестоимость разработки программного продукта</t>
  </si>
  <si>
    <t>Минимальная цена ПП</t>
  </si>
  <si>
    <t>Объём машинного времени в течение года, часов</t>
  </si>
  <si>
    <t>Расходы</t>
  </si>
  <si>
    <t>Капитальные</t>
  </si>
  <si>
    <t>Затраты вручную</t>
  </si>
  <si>
    <t>Годовая экономия</t>
  </si>
  <si>
    <t>Срок окурамеости</t>
  </si>
  <si>
    <t>Годовой экономический эффект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</si>
</sst>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0" fillId="0" borderId="3" xfId="0" applyNumberFormat="1" applyFont="1" applyBorder="1"/>
    <xf numFmtId="2" fontId="0" fillId="0" borderId="0" xfId="0" applyNumberFormat="1" applyFont="1" applyBorder="1"/>
    <xf numFmtId="2" fontId="0" fillId="0" borderId="4" xfId="0" applyNumberFormat="1" applyFont="1" applyBorder="1"/>
    <xf numFmtId="2" fontId="0" fillId="0" borderId="1" xfId="0" applyNumberFormat="1" applyFont="1" applyBorder="1"/>
  </cellXfs>
  <cellStyles count="1">
    <cellStyle name="Обычный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2" formatCode="0.0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numFmt numFmtId="2" formatCode="0.00"/>
    </dxf>
    <dxf>
      <numFmt numFmtId="2" formatCode="0.00"/>
    </dxf>
    <dxf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458C7-1390-4040-A632-E2F0760E6EEE}" name="Таблица2" displayName="Таблица2" ref="A1:L4" totalsRowCount="1" headerRowDxfId="39">
  <autoFilter ref="A1:L3" xr:uid="{91F458C7-1390-4040-A632-E2F0760E6EEE}"/>
  <tableColumns count="12">
    <tableColumn id="1" xr3:uid="{EA131739-A41B-4457-A8DB-7844327B0159}" name="Статья" totalsRowLabel="Итог"/>
    <tableColumn id="2" xr3:uid="{A9D69DDF-5218-45EC-9470-364146A79762}" name="Ставка" totalsRowFunction="sum" dataDxfId="38" totalsRowDxfId="37"/>
    <tableColumn id="3" xr3:uid="{9562E679-F26D-41D6-A971-4849A1A2D1FA}" name="Дней в неделю" dataDxfId="36"/>
    <tableColumn id="4" xr3:uid="{3262A96F-3FAB-4A62-8D45-1CA6AE7EC5A0}" name="Часов в день" dataDxfId="35"/>
    <tableColumn id="5" xr3:uid="{5E4249DE-502B-430C-B9CF-004DDF22DE57}" name="Месяцев" dataDxfId="34"/>
    <tableColumn id="6" xr3:uid="{6DE2389D-4592-4F2E-9E98-F9BED32F9D18}" name="Недель" dataDxfId="33"/>
    <tableColumn id="7" xr3:uid="{BE017F2C-4226-4B3B-AF92-9386221A85C6}" name="Фонд рабочего времени в месяц" dataDxfId="32">
      <calculatedColumnFormula>Таблица2[[#This Row],[Недель]] * Таблица2[[#This Row],[Дней в неделю]] * Таблица2[[#This Row],[Часов в день]] / Таблица2[[#This Row],[Месяцев]]</calculatedColumnFormula>
    </tableColumn>
    <tableColumn id="8" xr3:uid="{110A9845-8344-4DA5-82EB-889E960EE1D8}" name="Ставка почасовая" totalsRowFunction="sum" dataDxfId="31" totalsRowDxfId="30">
      <calculatedColumnFormula xml:space="preserve"> Таблица2[[#This Row],[Ставка]]/Таблица2[[#This Row],[Фонд рабочего времени в месяц]]</calculatedColumnFormula>
    </tableColumn>
    <tableColumn id="9" xr3:uid="{26A5FFF6-C163-4651-AD40-2E57FF5CB948}" name="Дополнительная почасовая" totalsRowFunction="sum" dataDxfId="29" totalsRowDxfId="28">
      <calculatedColumnFormula>Таблица2[[#This Row],[Ставка почасовая]] * 0.1 * Таблица2[[#This Row],[Ставка почасовая]] / 100</calculatedColumnFormula>
    </tableColumn>
    <tableColumn id="10" xr3:uid="{0CD7703D-D82D-4497-892E-3743F6C8B325}" name="Общая почасовая" totalsRowFunction="sum" dataDxfId="27" totalsRowDxfId="26">
      <calculatedColumnFormula xml:space="preserve"> Таблица2[[#This Row],[Ставка почасовая]]+Таблица2[[#This Row],[Дополнительная почасовая]]</calculatedColumnFormula>
    </tableColumn>
    <tableColumn id="11" xr3:uid="{6BB0D846-A8FF-4BB7-AD64-E2127BA3D9C3}" name="Отчисления" totalsRowFunction="sum" dataDxfId="25" totalsRowDxfId="24">
      <calculatedColumnFormula>Таблица2[[#This Row],[Общая почасовая]]*0.3</calculatedColumnFormula>
    </tableColumn>
    <tableColumn id="12" xr3:uid="{440564A9-1052-454D-83F6-6175CBBB3490}" name="Зарплата" totalsRowFunction="sum" dataDxfId="23" totalsRowDxfId="22">
      <calculatedColumnFormula>(Таблица2[[#This Row],[Общая почасовая]]+Таблица2[[#This Row],[Отчисления]])*Таблица2[[#This Row],[Фонд рабочего времени в месяц]]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2C8FBE-D3E0-4BF7-BC16-2F5EC901E524}" name="Таблица3" displayName="Таблица3" ref="A1:V2" totalsRowShown="0" headerRowDxfId="21">
  <autoFilter ref="A1:V2" xr:uid="{8F2C8FBE-D3E0-4BF7-BC16-2F5EC901E524}"/>
  <tableColumns count="22">
    <tableColumn id="1" xr3:uid="{CBC423E0-F499-4DDA-A55D-ED8722436BC6}" name="Машина"/>
    <tableColumn id="2" xr3:uid="{CDE22FDA-BA8D-402E-AE64-54354C7BCD02}" name="Мощность (квт)" dataDxfId="20"/>
    <tableColumn id="3" xr3:uid="{5A2409DD-4BA1-484B-B799-884DF03FEE91}" name="Стоимость 1квт/ч" dataDxfId="19"/>
    <tableColumn id="4" xr3:uid="{EBA84123-F3C4-4723-9F7B-2C890B6D37DC}" name="Стоимость" dataDxfId="18"/>
    <tableColumn id="5" xr3:uid="{9B5E1E06-6141-442C-868E-B5F23CDC93FF}" name="Срок службы, лет" dataDxfId="17"/>
    <tableColumn id="6" xr3:uid="{8B0D482B-5D89-4AEF-80E9-2216BA2A23AA}" name="Часов в день" dataDxfId="16"/>
    <tableColumn id="7" xr3:uid="{C5B788CE-03D6-49BD-9802-1F27CC704EAF}" name="Дней в году" dataDxfId="15"/>
    <tableColumn id="8" xr3:uid="{BB9DCEBD-3848-4DD2-9202-58335ED32BE7}" name="Часов в год" dataDxfId="14">
      <calculatedColumnFormula>Таблица3[[#This Row],[Дней в году]]*Таблица3[[#This Row],[Часов в день]]</calculatedColumnFormula>
    </tableColumn>
    <tableColumn id="9" xr3:uid="{347BC2DF-EEB6-43D9-BFF7-2964698768E9}" name="Стоимость машингого времени, руб/ч" dataDxfId="13">
      <calculatedColumnFormula>Таблица3[[#This Row],[Стоимость]]/(Таблица3[[#This Row],[Дней в году]]*Таблица3[[#This Row],[Часов в день]]*Таблица3[[#This Row],[Срок службы, лет]])+ Таблица3[[#This Row],[Мощность (квт)]] * Таблица3[[#This Row],[Стоимость 1квт/ч]]</calculatedColumnFormula>
    </tableColumn>
    <tableColumn id="10" xr3:uid="{BE204BB7-EC39-4DC3-A85F-9EA415005D98}" name="Затраты на использование машинного времени" dataDxfId="12">
      <calculatedColumnFormula>Таблица3[[#This Row],[Стоимость машингого времени, руб/ч]]*Таблица3[[#This Row],[Часов в год]]</calculatedColumnFormula>
    </tableColumn>
    <tableColumn id="11" xr3:uid="{2837F8CC-98EA-42AD-BE43-01B5267D3AE8}" name="Затраты на носители" dataDxfId="11">
      <calculatedColumnFormula>0.02 * Таблица3[[#This Row],[Стоимость]]</calculatedColumnFormula>
    </tableColumn>
    <tableColumn id="12" xr3:uid="{1D0170BD-D883-448F-B349-AEAEDBD28793}" name="Профилактика" dataDxfId="10">
      <calculatedColumnFormula>0.04*Таблица3[[#This Row],[Стоимость]]</calculatedColumnFormula>
    </tableColumn>
    <tableColumn id="13" xr3:uid="{B1431A1E-A853-46E6-99BA-F3A8612990C0}" name="Затраты на помещение" dataDxfId="9">
      <calculatedColumnFormula>20000 * 0.1</calculatedColumnFormula>
    </tableColumn>
    <tableColumn id="14" xr3:uid="{5E89EC06-2C7C-425B-9FD4-609953EC6766}" name="Себестоимость разработки программного продукта" dataDxfId="8">
      <calculatedColumnFormula>336213.71+Таблица3[[#This Row],[Затраты на использование машинного времени]]*4/12+Таблица3[[#This Row],[Затраты на носители]]+Таблица3[[#This Row],[Профилактика]]+Таблица3[[#This Row],[Затраты на помещение]]*4</calculatedColumnFormula>
    </tableColumn>
    <tableColumn id="15" xr3:uid="{B982FE17-88E5-4B1C-B87B-B698A11B6765}" name="Минимальная цена ПП" dataDxfId="7">
      <calculatedColumnFormula>Таблица3[[#This Row],[Себестоимость разработки программного продукта]]*1.2</calculatedColumnFormula>
    </tableColumn>
    <tableColumn id="16" xr3:uid="{68F3FCBE-C336-43A9-82CA-D796B5B71524}" name="Объём машинного времени в течение года, часов" dataDxfId="6"/>
    <tableColumn id="17" xr3:uid="{F2063422-FF65-4933-8D71-A2AD81730781}" name="Расходы" dataDxfId="5">
      <calculatedColumnFormula>Таблица3[[#This Row],[Объём машинного времени в течение года, часов]] * 10.28  + Таблица3[[#This Row],[Минимальная цена ПП]] / 2</calculatedColumnFormula>
    </tableColumn>
    <tableColumn id="18" xr3:uid="{0FD78D4B-1333-4D97-A9C5-4940E5D82829}" name="Капитальные" dataDxfId="4">
      <calculatedColumnFormula>Таблица3[[#This Row],[Объём машинного времени в течение года, часов]]*80000 / 2000 + Таблица3[[#This Row],[Минимальная цена ПП]]</calculatedColumnFormula>
    </tableColumn>
    <tableColumn id="19" xr3:uid="{4D848631-368F-4A98-AD80-3403AEDC9B19}" name="Затраты вручную" dataDxfId="3">
      <calculatedColumnFormula>1.21 * 120000 * 12</calculatedColumnFormula>
    </tableColumn>
    <tableColumn id="20" xr3:uid="{9540ED02-B76C-4138-94B2-6B035E0963E8}" name="Годовая экономия" dataDxfId="2">
      <calculatedColumnFormula>Таблица3[[#This Row],[Затраты вручную]]-Таблица3[[#This Row],[Расходы]]</calculatedColumnFormula>
    </tableColumn>
    <tableColumn id="21" xr3:uid="{AE41AC12-AF26-40F8-8810-7E3C92640AF9}" name="Срок окурамеости" dataDxfId="1">
      <calculatedColumnFormula>Таблица3[[#This Row],[Капитальные]]/Таблица3[[#This Row],[Годовая экономия]]</calculatedColumnFormula>
    </tableColumn>
    <tableColumn id="22" xr3:uid="{905F52A8-8CE1-4986-B4D0-C70A1777E747}" name="Годовой экономический эффект" dataDxfId="0">
      <calculatedColumnFormula>Таблица3[[#This Row],[Годовая экономия]]-0.15*Таблица3[[#This Row],[Капитальные]]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9A95-E122-45AF-824E-B4B5A2F89D5C}">
  <dimension ref="A1:L11"/>
  <sheetViews>
    <sheetView workbookViewId="0">
      <selection activeCell="L2" sqref="L2"/>
    </sheetView>
  </sheetViews>
  <sheetFormatPr defaultRowHeight="14.4" x14ac:dyDescent="0.3"/>
  <cols>
    <col min="1" max="1" width="18.6640625" bestFit="1" customWidth="1"/>
    <col min="2" max="2" width="11.44140625" style="1" bestFit="1" customWidth="1"/>
    <col min="3" max="3" width="12.109375" style="1" bestFit="1" customWidth="1"/>
    <col min="4" max="4" width="12" style="1" bestFit="1" customWidth="1"/>
    <col min="5" max="5" width="13" style="1" bestFit="1" customWidth="1"/>
    <col min="6" max="6" width="11.77734375" style="1" bestFit="1" customWidth="1"/>
    <col min="7" max="7" width="14.44140625" style="1" bestFit="1" customWidth="1"/>
    <col min="8" max="8" width="14.5546875" style="1" bestFit="1" customWidth="1"/>
    <col min="9" max="9" width="20" style="1" bestFit="1" customWidth="1"/>
    <col min="10" max="10" width="14.5546875" style="1" bestFit="1" customWidth="1"/>
    <col min="11" max="11" width="15.88671875" style="1" bestFit="1" customWidth="1"/>
    <col min="12" max="12" width="13.44140625" bestFit="1" customWidth="1"/>
  </cols>
  <sheetData>
    <row r="1" spans="1:12" ht="43.2" x14ac:dyDescent="0.3">
      <c r="A1" s="2" t="s">
        <v>0</v>
      </c>
      <c r="B1" s="3" t="s">
        <v>3</v>
      </c>
      <c r="C1" s="4" t="s">
        <v>10</v>
      </c>
      <c r="D1" s="4" t="s">
        <v>11</v>
      </c>
      <c r="E1" s="3" t="s">
        <v>12</v>
      </c>
      <c r="F1" s="3" t="s">
        <v>13</v>
      </c>
      <c r="G1" s="4" t="s">
        <v>7</v>
      </c>
      <c r="H1" s="4" t="s">
        <v>5</v>
      </c>
      <c r="I1" s="4" t="s">
        <v>9</v>
      </c>
      <c r="J1" s="4" t="s">
        <v>8</v>
      </c>
      <c r="K1" s="4" t="s">
        <v>14</v>
      </c>
      <c r="L1" s="5" t="s">
        <v>15</v>
      </c>
    </row>
    <row r="2" spans="1:12" x14ac:dyDescent="0.3">
      <c r="A2" t="s">
        <v>1</v>
      </c>
      <c r="B2" s="1">
        <v>120000</v>
      </c>
      <c r="C2" s="1">
        <v>5</v>
      </c>
      <c r="D2" s="1">
        <v>8</v>
      </c>
      <c r="E2" s="1">
        <v>4</v>
      </c>
      <c r="F2" s="1">
        <v>17</v>
      </c>
      <c r="G2" s="1">
        <f>Таблица2[[#This Row],[Недель]] * Таблица2[[#This Row],[Дней в неделю]] * Таблица2[[#This Row],[Часов в день]] / Таблица2[[#This Row],[Месяцев]]</f>
        <v>170</v>
      </c>
      <c r="H2" s="1">
        <f xml:space="preserve"> Таблица2[[#This Row],[Ставка]]/Таблица2[[#This Row],[Фонд рабочего времени в месяц]]</f>
        <v>705.88235294117646</v>
      </c>
      <c r="I2" s="1">
        <f>Таблица2[[#This Row],[Ставка почасовая]] * 0.1 * Таблица2[[#This Row],[Ставка почасовая]] / 100</f>
        <v>498.26989619377161</v>
      </c>
      <c r="J2" s="1">
        <f xml:space="preserve"> Таблица2[[#This Row],[Ставка почасовая]]+Таблица2[[#This Row],[Дополнительная почасовая]]</f>
        <v>1204.1522491349481</v>
      </c>
      <c r="K2" s="1">
        <f>Таблица2[[#This Row],[Общая почасовая]]*0.3</f>
        <v>361.24567474048439</v>
      </c>
      <c r="L2" s="1">
        <f>(Таблица2[[#This Row],[Общая почасовая]]+Таблица2[[#This Row],[Отчисления]])*Таблица2[[#This Row],[Фонд рабочего времени в месяц]]</f>
        <v>266117.64705882355</v>
      </c>
    </row>
    <row r="3" spans="1:12" x14ac:dyDescent="0.3">
      <c r="A3" t="s">
        <v>2</v>
      </c>
      <c r="B3" s="1">
        <v>44300</v>
      </c>
      <c r="C3" s="1">
        <v>6</v>
      </c>
      <c r="D3" s="1">
        <v>8</v>
      </c>
      <c r="E3" s="1">
        <v>4</v>
      </c>
      <c r="F3" s="1">
        <v>17</v>
      </c>
      <c r="G3" s="1">
        <f>Таблица2[[#This Row],[Недель]] * Таблица2[[#This Row],[Дней в неделю]] * Таблица2[[#This Row],[Часов в день]] / Таблица2[[#This Row],[Месяцев]]</f>
        <v>204</v>
      </c>
      <c r="H3" s="1">
        <f xml:space="preserve"> Таблица2[[#This Row],[Ставка]]/Таблица2[[#This Row],[Фонд рабочего времени в месяц]]</f>
        <v>217.15686274509804</v>
      </c>
      <c r="I3" s="1">
        <f>Таблица2[[#This Row],[Ставка почасовая]] * 0.1 * Таблица2[[#This Row],[Ставка почасовая]] / 100</f>
        <v>47.157103037293354</v>
      </c>
      <c r="J3" s="1">
        <f xml:space="preserve"> Таблица2[[#This Row],[Ставка почасовая]]+Таблица2[[#This Row],[Дополнительная почасовая]]</f>
        <v>264.31396578239139</v>
      </c>
      <c r="K3" s="1">
        <f>Таблица2[[#This Row],[Общая почасовая]]*0.3</f>
        <v>79.29418973471742</v>
      </c>
      <c r="L3" s="1">
        <f>(Таблица2[[#This Row],[Общая почасовая]]+Таблица2[[#This Row],[Отчисления]])*Таблица2[[#This Row],[Фонд рабочего времени в месяц]]</f>
        <v>70096.063725490196</v>
      </c>
    </row>
    <row r="4" spans="1:12" x14ac:dyDescent="0.3">
      <c r="A4" t="s">
        <v>16</v>
      </c>
      <c r="B4" s="1">
        <f>SUBTOTAL(109,Таблица2[Ставка])</f>
        <v>164300</v>
      </c>
      <c r="C4"/>
      <c r="D4"/>
      <c r="E4"/>
      <c r="F4"/>
      <c r="G4"/>
      <c r="H4" s="1">
        <f>SUBTOTAL(109,Таблица2[Ставка почасовая])</f>
        <v>923.03921568627447</v>
      </c>
      <c r="I4" s="1">
        <f>SUBTOTAL(109,Таблица2[Дополнительная почасовая])</f>
        <v>545.426999231065</v>
      </c>
      <c r="J4" s="1">
        <f>SUBTOTAL(109,Таблица2[Общая почасовая])</f>
        <v>1468.4662149173396</v>
      </c>
      <c r="K4" s="1">
        <f>SUBTOTAL(109,Таблица2[Отчисления])</f>
        <v>440.5398644752018</v>
      </c>
      <c r="L4" s="1">
        <f>SUBTOTAL(109,Таблица2[Зарплата])</f>
        <v>336213.71078431373</v>
      </c>
    </row>
    <row r="5" spans="1:12" x14ac:dyDescent="0.3">
      <c r="L5" s="1"/>
    </row>
    <row r="11" spans="1:12" x14ac:dyDescent="0.3">
      <c r="A11" t="s">
        <v>1</v>
      </c>
      <c r="B11" s="1">
        <v>60000</v>
      </c>
      <c r="C11" s="1">
        <v>5</v>
      </c>
      <c r="D11" s="1">
        <v>8</v>
      </c>
      <c r="E11" s="1">
        <v>4</v>
      </c>
      <c r="F11" s="1">
        <v>17</v>
      </c>
      <c r="G11" s="1" t="e">
        <f>Таблица2[[#This Row],[Недель]] * Таблица2[[#This Row],[Дней в неделю]] * Таблица2[[#This Row],[Часов в день]] / Таблица2[[#This Row],[Месяцев]]</f>
        <v>#VALUE!</v>
      </c>
      <c r="H11" s="1" t="e">
        <f xml:space="preserve"> Таблица2[[#This Row],[Ставка]]/Таблица2[[#This Row],[Фонд рабочего времени в месяц]]</f>
        <v>#VALUE!</v>
      </c>
      <c r="I11" s="1" t="e">
        <f>Таблица2[[#This Row],[Ставка почасовая]] * 0.1 * Таблица2[[#This Row],[Ставка почасовая]] / 100</f>
        <v>#VALUE!</v>
      </c>
      <c r="J11" s="1" t="e">
        <f xml:space="preserve"> Таблица2[[#This Row],[Ставка почасовая]]+Таблица2[[#This Row],[Дополнительная почасовая]]</f>
        <v>#VALUE!</v>
      </c>
      <c r="K11" s="1" t="e">
        <f>Таблица2[[#This Row],[Общая почасовая]]*0.3</f>
        <v>#VALUE!</v>
      </c>
      <c r="L11" s="1" t="e">
        <f>(Таблица2[[#This Row],[Общая почасовая]]+Таблица2[[#This Row],[Отчисления]])*Таблица2[[#This Row],[Фонд рабочего времени в месяц]]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C24D-DBAD-4BC5-A88E-07401D3654F5}">
  <dimension ref="A1:V3"/>
  <sheetViews>
    <sheetView tabSelected="1" topLeftCell="J1" workbookViewId="0">
      <selection activeCell="V2" sqref="V2"/>
    </sheetView>
  </sheetViews>
  <sheetFormatPr defaultRowHeight="14.4" x14ac:dyDescent="0.3"/>
  <cols>
    <col min="1" max="1" width="10.44140625" bestFit="1" customWidth="1"/>
    <col min="2" max="2" width="11.109375" style="1" customWidth="1"/>
    <col min="3" max="3" width="13.109375" style="1" customWidth="1"/>
    <col min="4" max="4" width="9.88671875" style="1" customWidth="1"/>
    <col min="5" max="5" width="10.109375" style="1" customWidth="1"/>
    <col min="6" max="6" width="8.77734375" style="1" customWidth="1"/>
    <col min="7" max="7" width="15.33203125" style="1" bestFit="1" customWidth="1"/>
    <col min="8" max="8" width="8.88671875" style="1"/>
    <col min="9" max="9" width="14.33203125" style="1" customWidth="1"/>
    <col min="10" max="10" width="19.88671875" style="1" customWidth="1"/>
    <col min="11" max="11" width="15.44140625" style="1" customWidth="1"/>
    <col min="12" max="12" width="17.21875" style="1" bestFit="1" customWidth="1"/>
    <col min="13" max="13" width="15.6640625" style="1" bestFit="1" customWidth="1"/>
    <col min="14" max="14" width="27.88671875" style="1" customWidth="1"/>
    <col min="15" max="15" width="16.5546875" style="1" bestFit="1" customWidth="1"/>
    <col min="16" max="16" width="17.5546875" customWidth="1"/>
    <col min="17" max="17" width="12.88671875" bestFit="1" customWidth="1"/>
    <col min="18" max="18" width="12.5546875" bestFit="1" customWidth="1"/>
    <col min="19" max="19" width="10.5546875" bestFit="1" customWidth="1"/>
    <col min="20" max="20" width="13" bestFit="1" customWidth="1"/>
    <col min="21" max="21" width="12.77734375" bestFit="1" customWidth="1"/>
    <col min="22" max="22" width="19.33203125" bestFit="1" customWidth="1"/>
  </cols>
  <sheetData>
    <row r="1" spans="1:22" ht="43.2" x14ac:dyDescent="0.3">
      <c r="A1" s="5" t="s">
        <v>17</v>
      </c>
      <c r="B1" s="4" t="s">
        <v>23</v>
      </c>
      <c r="C1" s="4" t="s">
        <v>22</v>
      </c>
      <c r="D1" s="7" t="s">
        <v>18</v>
      </c>
      <c r="E1" s="7" t="s">
        <v>20</v>
      </c>
      <c r="F1" s="7" t="s">
        <v>11</v>
      </c>
      <c r="G1" s="7" t="s">
        <v>19</v>
      </c>
      <c r="H1" s="7" t="s">
        <v>4</v>
      </c>
      <c r="I1" s="8" t="s">
        <v>21</v>
      </c>
      <c r="J1" s="4" t="s">
        <v>24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</row>
    <row r="2" spans="1:22" x14ac:dyDescent="0.3">
      <c r="A2" t="s">
        <v>25</v>
      </c>
      <c r="B2" s="1">
        <v>0.3</v>
      </c>
      <c r="C2" s="1">
        <v>7.28</v>
      </c>
      <c r="D2" s="9">
        <v>80000</v>
      </c>
      <c r="E2" s="9">
        <v>5</v>
      </c>
      <c r="F2" s="9">
        <v>8</v>
      </c>
      <c r="G2" s="9">
        <v>247</v>
      </c>
      <c r="H2" s="10">
        <f>Таблица3[[#This Row],[Дней в году]]*Таблица3[[#This Row],[Часов в день]]</f>
        <v>1976</v>
      </c>
      <c r="I2" s="10">
        <f>Таблица3[[#This Row],[Стоимость]]/(Таблица3[[#This Row],[Дней в году]]*Таблица3[[#This Row],[Часов в день]]*Таблица3[[#This Row],[Срок службы, лет]])+ Таблица3[[#This Row],[Мощность (квт)]] * Таблица3[[#This Row],[Стоимость 1квт/ч]]</f>
        <v>10.281165991902835</v>
      </c>
      <c r="J2" s="10">
        <f>Таблица3[[#This Row],[Стоимость машингого времени, руб/ч]]*Таблица3[[#This Row],[Часов в год]]</f>
        <v>20315.584000000003</v>
      </c>
      <c r="K2" s="11">
        <f>0.02 * Таблица3[[#This Row],[Стоимость]]</f>
        <v>1600</v>
      </c>
      <c r="L2" s="11">
        <f>0.04*Таблица3[[#This Row],[Стоимость]]</f>
        <v>3200</v>
      </c>
      <c r="M2" s="11">
        <f t="shared" ref="M2:M3" si="0">20000 * 0.1</f>
        <v>2000</v>
      </c>
      <c r="N2" s="10">
        <f>336213.71+Таблица3[[#This Row],[Затраты на использование машинного времени]]*4/12+Таблица3[[#This Row],[Затраты на носители]]+Таблица3[[#This Row],[Профилактика]]+Таблица3[[#This Row],[Затраты на помещение]]*4</f>
        <v>355785.57133333338</v>
      </c>
      <c r="O2" s="10">
        <f>Таблица3[[#This Row],[Себестоимость разработки программного продукта]]*1.2</f>
        <v>426942.68560000003</v>
      </c>
      <c r="P2" s="10">
        <v>2964</v>
      </c>
      <c r="Q2" s="10">
        <f>Таблица3[[#This Row],[Объём машинного времени в течение года, часов]] * 10.28  + Таблица3[[#This Row],[Минимальная цена ПП]] / 2</f>
        <v>243941.26280000003</v>
      </c>
      <c r="R2" s="10">
        <f>Таблица3[[#This Row],[Объём машинного времени в течение года, часов]]*80000 / 2000 + Таблица3[[#This Row],[Минимальная цена ПП]]</f>
        <v>545502.68559999997</v>
      </c>
      <c r="S2" s="10">
        <f>1.21 * 120000 * 12</f>
        <v>1742400</v>
      </c>
      <c r="T2" s="10">
        <f>Таблица3[[#This Row],[Затраты вручную]]-Таблица3[[#This Row],[Расходы]]</f>
        <v>1498458.7371999999</v>
      </c>
      <c r="U2" s="10">
        <f>Таблица3[[#This Row],[Капитальные]]/Таблица3[[#This Row],[Годовая экономия]]</f>
        <v>0.36404251385615</v>
      </c>
      <c r="V2" s="10">
        <f>Таблица3[[#This Row],[Годовая экономия]]-0.15*Таблица3[[#This Row],[Капитальные]]</f>
        <v>1416633.3343599997</v>
      </c>
    </row>
    <row r="3" spans="1:22" x14ac:dyDescent="0.3">
      <c r="A3" s="6"/>
      <c r="D3" s="12"/>
      <c r="E3" s="12"/>
      <c r="F3" s="12"/>
      <c r="G3" s="12"/>
      <c r="H3" s="12"/>
      <c r="I3" s="12"/>
      <c r="J3" s="12"/>
      <c r="K3" s="12"/>
      <c r="L3" s="12"/>
      <c r="M3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0739-032C-472F-B24A-3F2B7CAD823E}">
  <dimension ref="A1"/>
  <sheetViews>
    <sheetView workbookViewId="0">
      <selection activeCell="A4" sqref="A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Зарплата</vt:lpstr>
      <vt:lpstr>Машина</vt:lpstr>
      <vt:lpstr>Эффективность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Микуцких</dc:creator>
  <cp:lastModifiedBy>Григорий Микуцких</cp:lastModifiedBy>
  <dcterms:created xsi:type="dcterms:W3CDTF">2026-04-14T13:08:14Z</dcterms:created>
  <dcterms:modified xsi:type="dcterms:W3CDTF">2026-04-14T16:33:05Z</dcterms:modified>
</cp:coreProperties>
</file>